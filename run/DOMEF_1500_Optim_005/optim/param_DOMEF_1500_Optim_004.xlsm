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Bertoldi\Documents\Git\EURAC-Ecohydro\MonaLisa\run\DOMEF_1500_Optim_004\optim\"/>
    </mc:Choice>
  </mc:AlternateContent>
  <bookViews>
    <workbookView xWindow="0" yWindow="0" windowWidth="20490" windowHeight="7620"/>
  </bookViews>
  <sheets>
    <sheet name="param_DOMEF_1500_Optim_002" sheetId="1" r:id="rId1"/>
    <sheet name="BestParamPerIter" sheetId="2" r:id="rId2"/>
  </sheets>
  <calcPr calcId="162913"/>
</workbook>
</file>

<file path=xl/calcChain.xml><?xml version="1.0" encoding="utf-8"?>
<calcChain xmlns="http://schemas.openxmlformats.org/spreadsheetml/2006/main">
  <c r="D12" i="2" l="1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C13" i="2"/>
  <c r="C12" i="2"/>
</calcChain>
</file>

<file path=xl/sharedStrings.xml><?xml version="1.0" encoding="utf-8"?>
<sst xmlns="http://schemas.openxmlformats.org/spreadsheetml/2006/main" count="121" uniqueCount="46">
  <si>
    <t>name</t>
  </si>
  <si>
    <t>suggested</t>
  </si>
  <si>
    <t>lower</t>
  </si>
  <si>
    <t>upper</t>
  </si>
  <si>
    <t>SOIL__N</t>
  </si>
  <si>
    <t>SOIL__Alpha</t>
  </si>
  <si>
    <t>SOIL__ThetaSat</t>
  </si>
  <si>
    <t>SOIL__ThetaRes</t>
  </si>
  <si>
    <t>SOIL__LateralHydrConductivity</t>
  </si>
  <si>
    <t>SOIL__NormalHydrConductivity_ALL</t>
  </si>
  <si>
    <t>SCALAR__SoilRoughness</t>
  </si>
  <si>
    <t>SCALAR__LSAI</t>
  </si>
  <si>
    <t>SCALAR__CanopyFraction</t>
  </si>
  <si>
    <t>SCALAR__DecayCoeffCanopy</t>
  </si>
  <si>
    <t>SCALAR__RootDepth</t>
  </si>
  <si>
    <t>SCALAR__MinStomatalRes</t>
  </si>
  <si>
    <t>SCALAR__VegReflectVis</t>
  </si>
  <si>
    <t>SCALAR__VegReflNIR</t>
  </si>
  <si>
    <t>SCALAR__VegTransVis</t>
  </si>
  <si>
    <t>SCALAR__VegTransNIR</t>
  </si>
  <si>
    <t>SCALAR__LeafAngles</t>
  </si>
  <si>
    <t>SCALAR__CanDensSurface</t>
  </si>
  <si>
    <t>SCALAR__SoilAlbVisDry</t>
  </si>
  <si>
    <t>SCALAR__SoilAlbNIRDry</t>
  </si>
  <si>
    <t>SCALAR__SoilAlbVisWet</t>
  </si>
  <si>
    <t>SCALAR__SoilAlbNIRWet</t>
  </si>
  <si>
    <t>SCALAR__SoilEmissiv</t>
  </si>
  <si>
    <t>SCALAR__CanopyMaxIter</t>
  </si>
  <si>
    <t>SOIL__N_ALL</t>
  </si>
  <si>
    <t>SOIL__Alpha_ALL</t>
  </si>
  <si>
    <t>SOIL__ThetaSat_ALL</t>
  </si>
  <si>
    <t>SOIL__ThetaRes_ALL</t>
  </si>
  <si>
    <t>Iter</t>
  </si>
  <si>
    <t>GoF</t>
  </si>
  <si>
    <t>SOIL__NormalHydrConductivity_V_L0001</t>
  </si>
  <si>
    <t>SOIL__NormalHydrConductivity_V_L0002</t>
  </si>
  <si>
    <t>SOIL__NormalHydrConductivity_V_L0003</t>
  </si>
  <si>
    <t>SOIL__NormalHydrConductivity_V_L0004</t>
  </si>
  <si>
    <t>SOIL__NormalHydrConductivity_V_L0005</t>
  </si>
  <si>
    <t>SOIL__NormalHydrConductivity_V_L0006</t>
  </si>
  <si>
    <t>SOIL__NormalHydrConductivity_V_L0007</t>
  </si>
  <si>
    <t>SOIL__NormalHydrConductivity_V_L0008</t>
  </si>
  <si>
    <t>SOIL__NormalHydrConductivity_V_L0009</t>
  </si>
  <si>
    <t>If upper end</t>
  </si>
  <si>
    <t>If lover end</t>
  </si>
  <si>
    <t>SOIL__NormalHydrConductivity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</si>
</sst>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14" fillId="0" borderId="0" xfId="0" applyFont="1"/>
    <xf numFmtId="0" fontId="18" fillId="0" borderId="0" xfId="0" applyFont="1"/>
    <xf numFmtId="11" fontId="0" fillId="0" borderId="0" xfId="0" applyNumberFormat="1"/>
    <xf numFmtId="11" fontId="14" fillId="0" borderId="0" xfId="0" applyNumberFormat="1" applyFont="1"/>
    <xf numFmtId="0" fontId="19" fillId="0" borderId="0" xfId="0" applyFont="1"/>
    <xf numFmtId="0" fontId="20" fillId="0" borderId="0" xfId="0" applyFont="1"/>
    <xf numFmtId="0" fontId="14" fillId="33" borderId="0" xfId="0" applyFont="1" applyFill="1"/>
    <xf numFmtId="0" fontId="16" fillId="0" borderId="0" xfId="0" applyFont="1"/>
    <xf numFmtId="0" fontId="16" fillId="34" borderId="0" xfId="0" applyFont="1" applyFill="1"/>
    <xf numFmtId="0" fontId="16" fillId="35" borderId="0" xfId="0" applyFont="1" applyFill="1"/>
    <xf numFmtId="0" fontId="21" fillId="35" borderId="0" xfId="0" applyFont="1" applyFill="1"/>
    <xf numFmtId="0" fontId="21" fillId="34" borderId="0" xfId="0" applyFont="1" applyFill="1"/>
    <xf numFmtId="0" fontId="21" fillId="0" borderId="0" xfId="0" applyFont="1"/>
    <xf numFmtId="11" fontId="21" fillId="34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FF0000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2"/>
  <sheetViews>
    <sheetView tabSelected="1" workbookViewId="0">
      <selection activeCell="F9" sqref="F9"/>
    </sheetView>
  </sheetViews>
  <sheetFormatPr defaultRowHeight="15" x14ac:dyDescent="0.25"/>
  <cols>
    <col min="1" max="1" width="33.42578125" bestFit="1" customWidth="1"/>
    <col min="2" max="2" width="10" bestFit="1" customWidth="1"/>
    <col min="3" max="3" width="8" bestFit="1" customWidth="1"/>
    <col min="4" max="4" width="6.28515625" bestFit="1" customWidth="1"/>
    <col min="9" max="9" width="11.42578125" customWidth="1"/>
    <col min="11" max="11" width="11.7109375" customWidth="1"/>
  </cols>
  <sheetData>
    <row r="1" spans="1:27" x14ac:dyDescent="0.25">
      <c r="A1" s="8" t="s">
        <v>0</v>
      </c>
      <c r="B1" s="8" t="s">
        <v>1</v>
      </c>
      <c r="C1" s="9" t="s">
        <v>2</v>
      </c>
      <c r="D1" s="10" t="s">
        <v>3</v>
      </c>
    </row>
    <row r="2" spans="1:27" x14ac:dyDescent="0.25">
      <c r="A2" s="8" t="s">
        <v>4</v>
      </c>
      <c r="B2" s="13">
        <v>1.5</v>
      </c>
      <c r="C2" s="12">
        <v>1.1499999999999999</v>
      </c>
      <c r="D2" s="11">
        <v>2</v>
      </c>
      <c r="F2" s="8" t="s">
        <v>0</v>
      </c>
      <c r="G2" s="8" t="s">
        <v>4</v>
      </c>
      <c r="H2" s="8" t="s">
        <v>5</v>
      </c>
      <c r="I2" s="8" t="s">
        <v>6</v>
      </c>
      <c r="J2" s="8" t="s">
        <v>7</v>
      </c>
      <c r="K2" s="8" t="s">
        <v>45</v>
      </c>
      <c r="L2" s="8" t="s">
        <v>10</v>
      </c>
      <c r="M2" s="8" t="s">
        <v>11</v>
      </c>
      <c r="N2" s="8" t="s">
        <v>12</v>
      </c>
      <c r="O2" s="8" t="s">
        <v>13</v>
      </c>
      <c r="P2" s="8" t="s">
        <v>14</v>
      </c>
      <c r="Q2" s="8" t="s">
        <v>15</v>
      </c>
      <c r="R2" s="8" t="s">
        <v>16</v>
      </c>
      <c r="S2" s="8" t="s">
        <v>17</v>
      </c>
      <c r="T2" s="8" t="s">
        <v>18</v>
      </c>
      <c r="U2" s="8" t="s">
        <v>19</v>
      </c>
      <c r="V2" s="8" t="s">
        <v>21</v>
      </c>
      <c r="W2" s="8" t="s">
        <v>22</v>
      </c>
      <c r="X2" s="8" t="s">
        <v>23</v>
      </c>
      <c r="Y2" s="8" t="s">
        <v>24</v>
      </c>
      <c r="Z2" s="8" t="s">
        <v>25</v>
      </c>
      <c r="AA2" s="8" t="s">
        <v>26</v>
      </c>
    </row>
    <row r="3" spans="1:27" x14ac:dyDescent="0.25">
      <c r="A3" s="8" t="s">
        <v>5</v>
      </c>
      <c r="B3" s="13">
        <v>2E-3</v>
      </c>
      <c r="C3" s="12">
        <v>5.0000000000000001E-4</v>
      </c>
      <c r="D3" s="11">
        <v>8.0000000000000002E-3</v>
      </c>
      <c r="F3" s="8" t="s">
        <v>1</v>
      </c>
      <c r="G3" s="13">
        <v>1.5</v>
      </c>
      <c r="H3" s="13">
        <v>2E-3</v>
      </c>
      <c r="I3" s="8">
        <v>0.5</v>
      </c>
      <c r="J3" s="8">
        <v>0.06</v>
      </c>
      <c r="K3" s="8">
        <v>0.01</v>
      </c>
      <c r="L3" s="8">
        <v>100</v>
      </c>
      <c r="M3" s="8">
        <v>5</v>
      </c>
      <c r="N3" s="8">
        <v>0.6</v>
      </c>
      <c r="O3" s="8">
        <v>50</v>
      </c>
      <c r="P3" s="8">
        <v>500</v>
      </c>
      <c r="Q3" s="8">
        <v>50</v>
      </c>
      <c r="R3" s="8">
        <v>0.1</v>
      </c>
      <c r="S3" s="8">
        <v>0.2</v>
      </c>
      <c r="T3" s="8">
        <v>0.02</v>
      </c>
      <c r="U3" s="8">
        <v>0.4</v>
      </c>
      <c r="V3" s="8">
        <v>2</v>
      </c>
      <c r="W3" s="8">
        <v>0.15</v>
      </c>
      <c r="X3" s="8">
        <v>0.3</v>
      </c>
      <c r="Y3" s="8">
        <v>0.3</v>
      </c>
      <c r="Z3" s="8">
        <v>0.25</v>
      </c>
      <c r="AA3" s="8">
        <v>0.9</v>
      </c>
    </row>
    <row r="4" spans="1:27" x14ac:dyDescent="0.25">
      <c r="A4" s="8" t="s">
        <v>6</v>
      </c>
      <c r="B4" s="8">
        <v>0.5</v>
      </c>
      <c r="C4" s="9">
        <v>0.4</v>
      </c>
      <c r="D4" s="10">
        <v>0.7</v>
      </c>
      <c r="F4" s="9" t="s">
        <v>2</v>
      </c>
      <c r="G4" s="12">
        <v>1.1499999999999999</v>
      </c>
      <c r="H4" s="12">
        <v>5.0000000000000001E-4</v>
      </c>
      <c r="I4" s="9">
        <v>0.4</v>
      </c>
      <c r="J4" s="9">
        <v>0.04</v>
      </c>
      <c r="K4" s="14">
        <v>5.0000000000000002E-5</v>
      </c>
      <c r="L4" s="9">
        <v>10</v>
      </c>
      <c r="M4" s="9">
        <v>0</v>
      </c>
      <c r="N4" s="9">
        <v>0</v>
      </c>
      <c r="O4" s="9">
        <v>0</v>
      </c>
      <c r="P4" s="9">
        <v>50</v>
      </c>
      <c r="Q4" s="9">
        <v>10</v>
      </c>
      <c r="R4" s="9">
        <v>0.05</v>
      </c>
      <c r="S4" s="9">
        <v>0.05</v>
      </c>
      <c r="T4" s="9">
        <v>5.0000000000000001E-3</v>
      </c>
      <c r="U4" s="9">
        <v>0.05</v>
      </c>
      <c r="V4" s="9">
        <v>0.1</v>
      </c>
      <c r="W4" s="9">
        <v>0.05</v>
      </c>
      <c r="X4" s="9">
        <v>0.05</v>
      </c>
      <c r="Y4" s="9">
        <v>0.05</v>
      </c>
      <c r="Z4" s="9">
        <v>0.05</v>
      </c>
      <c r="AA4" s="12">
        <v>0.8</v>
      </c>
    </row>
    <row r="5" spans="1:27" x14ac:dyDescent="0.25">
      <c r="A5" s="8" t="s">
        <v>7</v>
      </c>
      <c r="B5" s="8">
        <v>0.06</v>
      </c>
      <c r="C5" s="9">
        <v>0.04</v>
      </c>
      <c r="D5" s="11">
        <v>0.08</v>
      </c>
      <c r="F5" s="10" t="s">
        <v>3</v>
      </c>
      <c r="G5" s="11">
        <v>2</v>
      </c>
      <c r="H5" s="11">
        <v>8.0000000000000002E-3</v>
      </c>
      <c r="I5" s="10">
        <v>0.7</v>
      </c>
      <c r="J5" s="11">
        <v>0.08</v>
      </c>
      <c r="K5" s="11">
        <v>1</v>
      </c>
      <c r="L5" s="10">
        <v>500</v>
      </c>
      <c r="M5" s="11">
        <v>1</v>
      </c>
      <c r="N5" s="10">
        <v>1</v>
      </c>
      <c r="O5" s="11">
        <v>75</v>
      </c>
      <c r="P5" s="10">
        <v>1000</v>
      </c>
      <c r="Q5" s="10">
        <v>100</v>
      </c>
      <c r="R5" s="11">
        <v>0.2</v>
      </c>
      <c r="S5" s="11">
        <v>0.4</v>
      </c>
      <c r="T5" s="11">
        <v>0.15</v>
      </c>
      <c r="U5" s="10">
        <v>0.6</v>
      </c>
      <c r="V5" s="11">
        <v>8</v>
      </c>
      <c r="W5" s="10">
        <v>0.3</v>
      </c>
      <c r="X5" s="11">
        <v>0.4</v>
      </c>
      <c r="Y5" s="10">
        <v>0.4</v>
      </c>
      <c r="Z5" s="10">
        <v>0.5</v>
      </c>
      <c r="AA5" s="11">
        <v>1</v>
      </c>
    </row>
    <row r="6" spans="1:27" x14ac:dyDescent="0.25">
      <c r="A6" s="8" t="s">
        <v>45</v>
      </c>
      <c r="B6" s="8">
        <v>0.01</v>
      </c>
      <c r="C6" s="14">
        <v>5.0000000000000002E-5</v>
      </c>
      <c r="D6" s="11">
        <v>1</v>
      </c>
    </row>
    <row r="7" spans="1:27" x14ac:dyDescent="0.25">
      <c r="A7" s="8" t="s">
        <v>10</v>
      </c>
      <c r="B7" s="13">
        <v>100</v>
      </c>
      <c r="C7" s="12">
        <v>10</v>
      </c>
      <c r="D7" s="11">
        <v>500</v>
      </c>
    </row>
    <row r="8" spans="1:27" x14ac:dyDescent="0.25">
      <c r="A8" s="8" t="s">
        <v>11</v>
      </c>
      <c r="B8" s="8">
        <v>5</v>
      </c>
      <c r="C8" s="9">
        <v>0</v>
      </c>
      <c r="D8" s="11">
        <v>1</v>
      </c>
    </row>
    <row r="9" spans="1:27" x14ac:dyDescent="0.25">
      <c r="A9" s="8" t="s">
        <v>12</v>
      </c>
      <c r="B9" s="8">
        <v>0.6</v>
      </c>
      <c r="C9" s="9">
        <v>0</v>
      </c>
      <c r="D9" s="10">
        <v>1</v>
      </c>
    </row>
    <row r="10" spans="1:27" x14ac:dyDescent="0.25">
      <c r="A10" s="8" t="s">
        <v>13</v>
      </c>
      <c r="B10" s="8">
        <v>50</v>
      </c>
      <c r="C10" s="9">
        <v>0</v>
      </c>
      <c r="D10" s="11">
        <v>75</v>
      </c>
    </row>
    <row r="11" spans="1:27" x14ac:dyDescent="0.25">
      <c r="A11" s="8" t="s">
        <v>14</v>
      </c>
      <c r="B11" s="8">
        <v>500</v>
      </c>
      <c r="C11" s="9">
        <v>50</v>
      </c>
      <c r="D11" s="10">
        <v>1000</v>
      </c>
    </row>
    <row r="12" spans="1:27" x14ac:dyDescent="0.25">
      <c r="A12" s="8" t="s">
        <v>15</v>
      </c>
      <c r="B12" s="8">
        <v>50</v>
      </c>
      <c r="C12" s="9">
        <v>10</v>
      </c>
      <c r="D12" s="10">
        <v>100</v>
      </c>
    </row>
    <row r="13" spans="1:27" x14ac:dyDescent="0.25">
      <c r="A13" s="8" t="s">
        <v>16</v>
      </c>
      <c r="B13" s="8">
        <v>0.1</v>
      </c>
      <c r="C13" s="9">
        <v>0.05</v>
      </c>
      <c r="D13" s="11">
        <v>0.2</v>
      </c>
    </row>
    <row r="14" spans="1:27" x14ac:dyDescent="0.25">
      <c r="A14" s="8" t="s">
        <v>17</v>
      </c>
      <c r="B14" s="8">
        <v>0.2</v>
      </c>
      <c r="C14" s="9">
        <v>0.05</v>
      </c>
      <c r="D14" s="11">
        <v>0.4</v>
      </c>
    </row>
    <row r="15" spans="1:27" x14ac:dyDescent="0.25">
      <c r="A15" s="8" t="s">
        <v>18</v>
      </c>
      <c r="B15" s="8">
        <v>0.02</v>
      </c>
      <c r="C15" s="9">
        <v>5.0000000000000001E-3</v>
      </c>
      <c r="D15" s="11">
        <v>0.15</v>
      </c>
    </row>
    <row r="16" spans="1:27" x14ac:dyDescent="0.25">
      <c r="A16" s="8" t="s">
        <v>19</v>
      </c>
      <c r="B16" s="8">
        <v>0.4</v>
      </c>
      <c r="C16" s="9">
        <v>0.05</v>
      </c>
      <c r="D16" s="10">
        <v>0.6</v>
      </c>
    </row>
    <row r="17" spans="1:4" x14ac:dyDescent="0.25">
      <c r="A17" s="8" t="s">
        <v>21</v>
      </c>
      <c r="B17" s="8">
        <v>2</v>
      </c>
      <c r="C17" s="9">
        <v>0.1</v>
      </c>
      <c r="D17" s="11">
        <v>8</v>
      </c>
    </row>
    <row r="18" spans="1:4" x14ac:dyDescent="0.25">
      <c r="A18" s="8" t="s">
        <v>22</v>
      </c>
      <c r="B18" s="8">
        <v>0.15</v>
      </c>
      <c r="C18" s="9">
        <v>0.05</v>
      </c>
      <c r="D18" s="10">
        <v>0.3</v>
      </c>
    </row>
    <row r="19" spans="1:4" x14ac:dyDescent="0.25">
      <c r="A19" s="8" t="s">
        <v>23</v>
      </c>
      <c r="B19" s="8">
        <v>0.3</v>
      </c>
      <c r="C19" s="9">
        <v>0.05</v>
      </c>
      <c r="D19" s="11">
        <v>0.4</v>
      </c>
    </row>
    <row r="20" spans="1:4" x14ac:dyDescent="0.25">
      <c r="A20" s="8" t="s">
        <v>24</v>
      </c>
      <c r="B20" s="8">
        <v>0.3</v>
      </c>
      <c r="C20" s="9">
        <v>0.05</v>
      </c>
      <c r="D20" s="10">
        <v>0.4</v>
      </c>
    </row>
    <row r="21" spans="1:4" x14ac:dyDescent="0.25">
      <c r="A21" s="8" t="s">
        <v>25</v>
      </c>
      <c r="B21" s="8">
        <v>0.25</v>
      </c>
      <c r="C21" s="9">
        <v>0.05</v>
      </c>
      <c r="D21" s="10">
        <v>0.5</v>
      </c>
    </row>
    <row r="22" spans="1:4" x14ac:dyDescent="0.25">
      <c r="A22" s="8" t="s">
        <v>26</v>
      </c>
      <c r="B22" s="8">
        <v>0.9</v>
      </c>
      <c r="C22" s="12">
        <v>0.8</v>
      </c>
      <c r="D22" s="11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H19"/>
  <sheetViews>
    <sheetView workbookViewId="0"/>
  </sheetViews>
  <sheetFormatPr defaultRowHeight="15" x14ac:dyDescent="0.25"/>
  <cols>
    <col min="1" max="1" width="4.140625" bestFit="1" customWidth="1"/>
    <col min="2" max="2" width="11.85546875" customWidth="1"/>
    <col min="3" max="3" width="12.28515625" bestFit="1" customWidth="1"/>
    <col min="4" max="4" width="16.140625" bestFit="1" customWidth="1"/>
    <col min="5" max="5" width="18.85546875" bestFit="1" customWidth="1"/>
    <col min="6" max="6" width="19.28515625" bestFit="1" customWidth="1"/>
    <col min="7" max="7" width="28.7109375" bestFit="1" customWidth="1"/>
    <col min="8" max="8" width="23" bestFit="1" customWidth="1"/>
    <col min="9" max="9" width="13.5703125" bestFit="1" customWidth="1"/>
    <col min="10" max="10" width="23.85546875" bestFit="1" customWidth="1"/>
    <col min="11" max="11" width="27" bestFit="1" customWidth="1"/>
    <col min="12" max="12" width="19.5703125" bestFit="1" customWidth="1"/>
    <col min="13" max="13" width="24.5703125" bestFit="1" customWidth="1"/>
    <col min="14" max="14" width="22.5703125" bestFit="1" customWidth="1"/>
    <col min="15" max="15" width="20.140625" bestFit="1" customWidth="1"/>
    <col min="16" max="16" width="20.85546875" bestFit="1" customWidth="1"/>
    <col min="17" max="17" width="21.42578125" bestFit="1" customWidth="1"/>
    <col min="18" max="18" width="19.7109375" bestFit="1" customWidth="1"/>
    <col min="19" max="19" width="24.42578125" bestFit="1" customWidth="1"/>
    <col min="20" max="20" width="22.140625" bestFit="1" customWidth="1"/>
    <col min="21" max="21" width="22.5703125" bestFit="1" customWidth="1"/>
    <col min="22" max="22" width="22.85546875" bestFit="1" customWidth="1"/>
    <col min="23" max="23" width="23.28515625" bestFit="1" customWidth="1"/>
    <col min="24" max="24" width="19.85546875" bestFit="1" customWidth="1"/>
    <col min="25" max="25" width="23.5703125" bestFit="1" customWidth="1"/>
    <col min="26" max="34" width="37.7109375" bestFit="1" customWidth="1"/>
  </cols>
  <sheetData>
    <row r="5" spans="1:34" x14ac:dyDescent="0.25">
      <c r="A5" t="s">
        <v>32</v>
      </c>
      <c r="B5" t="s">
        <v>33</v>
      </c>
      <c r="C5" t="s">
        <v>4</v>
      </c>
      <c r="D5" t="s">
        <v>5</v>
      </c>
      <c r="E5" t="s">
        <v>6</v>
      </c>
      <c r="F5" t="s">
        <v>7</v>
      </c>
      <c r="G5" t="s">
        <v>8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21</v>
      </c>
      <c r="T5" t="s">
        <v>22</v>
      </c>
      <c r="U5" t="s">
        <v>23</v>
      </c>
      <c r="V5" t="s">
        <v>24</v>
      </c>
      <c r="W5" t="s">
        <v>25</v>
      </c>
      <c r="X5" t="s">
        <v>26</v>
      </c>
      <c r="Y5" t="s">
        <v>27</v>
      </c>
      <c r="Z5" t="s">
        <v>34</v>
      </c>
      <c r="AA5" t="s">
        <v>35</v>
      </c>
      <c r="AB5" t="s">
        <v>36</v>
      </c>
      <c r="AC5" t="s">
        <v>37</v>
      </c>
      <c r="AD5" t="s">
        <v>38</v>
      </c>
      <c r="AE5" t="s">
        <v>39</v>
      </c>
      <c r="AF5" t="s">
        <v>40</v>
      </c>
      <c r="AG5" t="s">
        <v>41</v>
      </c>
      <c r="AH5" t="s">
        <v>42</v>
      </c>
    </row>
    <row r="6" spans="1:34" x14ac:dyDescent="0.25">
      <c r="A6">
        <v>1</v>
      </c>
      <c r="B6" s="3">
        <v>0.2059126</v>
      </c>
      <c r="C6" s="3">
        <v>1.2088612000000001</v>
      </c>
      <c r="D6" s="3">
        <v>5.4467607000000001E-2</v>
      </c>
      <c r="E6" s="3">
        <v>0.65050474000000003</v>
      </c>
      <c r="F6" s="3">
        <v>6.2572197999999996E-2</v>
      </c>
      <c r="G6" s="3">
        <v>0.63730074000000003</v>
      </c>
      <c r="H6" s="3">
        <v>780.07511999999997</v>
      </c>
      <c r="I6" s="3">
        <v>5.4822825999999996</v>
      </c>
      <c r="J6" s="3">
        <v>4.2286407999999998E-2</v>
      </c>
      <c r="K6" s="3">
        <v>21.237628000000001</v>
      </c>
      <c r="L6" s="3">
        <v>402.77928000000003</v>
      </c>
      <c r="M6" s="3">
        <v>28.012799999999999</v>
      </c>
      <c r="N6" s="3">
        <v>0.16377365999999999</v>
      </c>
      <c r="O6" s="3">
        <v>0.19115902000000001</v>
      </c>
      <c r="P6" s="3">
        <v>0.15056655999999999</v>
      </c>
      <c r="Q6" s="3">
        <v>7.9752221999999998E-2</v>
      </c>
      <c r="R6" s="3">
        <v>-0.70222421000000002</v>
      </c>
      <c r="S6" s="3">
        <v>6.5345174000000004</v>
      </c>
      <c r="T6" s="3">
        <v>0.29207619000000001</v>
      </c>
      <c r="U6" s="3">
        <v>0.43265361000000002</v>
      </c>
      <c r="V6" s="3">
        <v>0.13212208</v>
      </c>
      <c r="W6" s="3">
        <v>0.15956661</v>
      </c>
      <c r="X6" s="3">
        <v>0.87171544000000001</v>
      </c>
      <c r="Y6" s="3">
        <v>1.1300866000000001</v>
      </c>
      <c r="Z6" s="3">
        <v>0.84068613000000003</v>
      </c>
      <c r="AA6" s="3">
        <v>0.64699545000000003</v>
      </c>
      <c r="AB6" s="3">
        <v>0.85560868999999995</v>
      </c>
      <c r="AC6" s="3">
        <v>0.80182419000000005</v>
      </c>
      <c r="AD6" s="3">
        <v>0.77043830999999996</v>
      </c>
      <c r="AE6" s="3">
        <v>0.87972718999999999</v>
      </c>
      <c r="AF6" s="3">
        <v>0.57779276999999996</v>
      </c>
      <c r="AG6" s="3">
        <v>0.78049913000000004</v>
      </c>
      <c r="AH6" s="3">
        <v>0.96262457999999995</v>
      </c>
    </row>
    <row r="7" spans="1:34" x14ac:dyDescent="0.25">
      <c r="A7">
        <v>2</v>
      </c>
      <c r="B7" s="3">
        <v>0.18384776</v>
      </c>
      <c r="C7" s="3">
        <v>1.2</v>
      </c>
      <c r="D7" s="3">
        <v>1.0000000000000001E-5</v>
      </c>
      <c r="E7" s="3">
        <v>0.4</v>
      </c>
      <c r="F7" s="3">
        <v>0.05</v>
      </c>
      <c r="G7" s="3">
        <v>1E-3</v>
      </c>
      <c r="H7" s="3">
        <v>554.02057000000002</v>
      </c>
      <c r="I7" s="3">
        <v>0</v>
      </c>
      <c r="J7" s="3">
        <v>0</v>
      </c>
      <c r="K7" s="3">
        <v>41.984096000000001</v>
      </c>
      <c r="L7" s="3">
        <v>178.27212</v>
      </c>
      <c r="M7" s="3">
        <v>77.856007000000005</v>
      </c>
      <c r="N7" s="3">
        <v>0.05</v>
      </c>
      <c r="O7" s="3">
        <v>0.05</v>
      </c>
      <c r="P7" s="3">
        <v>0.01</v>
      </c>
      <c r="Q7" s="3">
        <v>0.05</v>
      </c>
      <c r="R7" s="3">
        <v>0</v>
      </c>
      <c r="S7" s="3">
        <v>10</v>
      </c>
      <c r="T7" s="3">
        <v>0.05</v>
      </c>
      <c r="U7" s="3">
        <v>0.5</v>
      </c>
      <c r="V7" s="3">
        <v>0.3</v>
      </c>
      <c r="W7" s="3">
        <v>0.05</v>
      </c>
      <c r="X7" s="3">
        <v>1.39</v>
      </c>
      <c r="Y7" s="3">
        <v>4</v>
      </c>
      <c r="Z7" s="3">
        <v>1</v>
      </c>
      <c r="AA7" s="3">
        <v>1E-3</v>
      </c>
      <c r="AB7" s="3">
        <v>1E-3</v>
      </c>
      <c r="AC7" s="3">
        <v>1</v>
      </c>
      <c r="AD7" s="3">
        <v>1E-3</v>
      </c>
      <c r="AE7" s="3">
        <v>1</v>
      </c>
      <c r="AF7" s="3">
        <v>1E-3</v>
      </c>
      <c r="AG7" s="3">
        <v>1</v>
      </c>
      <c r="AH7" s="3">
        <v>1E-3</v>
      </c>
    </row>
    <row r="8" spans="1:34" x14ac:dyDescent="0.25">
      <c r="A8">
        <v>3</v>
      </c>
      <c r="B8" s="3">
        <v>0.18384776</v>
      </c>
      <c r="C8" s="3">
        <v>1.2</v>
      </c>
      <c r="D8" s="3">
        <v>1.0000000000000001E-5</v>
      </c>
      <c r="E8" s="3">
        <v>0.4</v>
      </c>
      <c r="F8" s="3">
        <v>0.05</v>
      </c>
      <c r="G8" s="3">
        <v>1E-3</v>
      </c>
      <c r="H8" s="3">
        <v>554.02057000000002</v>
      </c>
      <c r="I8" s="3">
        <v>0</v>
      </c>
      <c r="J8" s="3">
        <v>0</v>
      </c>
      <c r="K8" s="3">
        <v>41.984096000000001</v>
      </c>
      <c r="L8" s="3">
        <v>178.27212</v>
      </c>
      <c r="M8" s="3">
        <v>77.856007000000005</v>
      </c>
      <c r="N8" s="3">
        <v>0.05</v>
      </c>
      <c r="O8" s="3">
        <v>0.05</v>
      </c>
      <c r="P8" s="3">
        <v>0.01</v>
      </c>
      <c r="Q8" s="3">
        <v>0.05</v>
      </c>
      <c r="R8" s="3">
        <v>0</v>
      </c>
      <c r="S8" s="3">
        <v>10</v>
      </c>
      <c r="T8" s="3">
        <v>0.05</v>
      </c>
      <c r="U8" s="3">
        <v>0.5</v>
      </c>
      <c r="V8" s="3">
        <v>0.3</v>
      </c>
      <c r="W8" s="3">
        <v>0.05</v>
      </c>
      <c r="X8" s="3">
        <v>1.39</v>
      </c>
      <c r="Y8" s="3">
        <v>4</v>
      </c>
      <c r="Z8" s="3">
        <v>1</v>
      </c>
      <c r="AA8" s="3">
        <v>1E-3</v>
      </c>
      <c r="AB8" s="3">
        <v>1E-3</v>
      </c>
      <c r="AC8" s="3">
        <v>1</v>
      </c>
      <c r="AD8" s="3">
        <v>1E-3</v>
      </c>
      <c r="AE8" s="3">
        <v>1</v>
      </c>
      <c r="AF8" s="3">
        <v>1E-3</v>
      </c>
      <c r="AG8" s="3">
        <v>1</v>
      </c>
      <c r="AH8" s="3">
        <v>1E-3</v>
      </c>
    </row>
    <row r="9" spans="1:34" x14ac:dyDescent="0.25">
      <c r="A9">
        <v>4</v>
      </c>
      <c r="B9" s="3">
        <v>0.16763054999999999</v>
      </c>
      <c r="C9" s="3">
        <v>1.2</v>
      </c>
      <c r="D9" s="3">
        <v>0.1</v>
      </c>
      <c r="E9" s="3">
        <v>0.50820213000000003</v>
      </c>
      <c r="F9" s="3">
        <v>6.2786524999999996E-2</v>
      </c>
      <c r="G9" s="3">
        <v>0.63968691</v>
      </c>
      <c r="H9" s="3">
        <v>1000</v>
      </c>
      <c r="I9" s="3">
        <v>5.1146098999999996</v>
      </c>
      <c r="J9" s="3">
        <v>0.62384870000000003</v>
      </c>
      <c r="K9" s="3">
        <v>53.937466999999998</v>
      </c>
      <c r="L9" s="3">
        <v>500</v>
      </c>
      <c r="M9" s="3">
        <v>84.465922000000006</v>
      </c>
      <c r="N9" s="3">
        <v>0.14016844000000001</v>
      </c>
      <c r="O9" s="3">
        <v>0.21230319</v>
      </c>
      <c r="P9" s="3">
        <v>0.01</v>
      </c>
      <c r="Q9" s="3">
        <v>0.5</v>
      </c>
      <c r="R9" s="3">
        <v>0</v>
      </c>
      <c r="S9" s="3">
        <v>6.4293297999999997</v>
      </c>
      <c r="T9" s="3">
        <v>0.14016844000000001</v>
      </c>
      <c r="U9" s="3">
        <v>0.21230319</v>
      </c>
      <c r="V9" s="3">
        <v>0.3</v>
      </c>
      <c r="W9" s="3">
        <v>0.21230319</v>
      </c>
      <c r="X9" s="3">
        <v>0.8</v>
      </c>
      <c r="Y9" s="3">
        <v>4</v>
      </c>
      <c r="Z9" s="3">
        <v>1</v>
      </c>
      <c r="AA9" s="3">
        <v>1</v>
      </c>
      <c r="AB9" s="3">
        <v>1E-3</v>
      </c>
      <c r="AC9" s="3">
        <v>1E-3</v>
      </c>
      <c r="AD9" s="3">
        <v>1</v>
      </c>
      <c r="AE9" s="3">
        <v>0.63968691</v>
      </c>
      <c r="AF9" s="3">
        <v>0.22887218000000001</v>
      </c>
      <c r="AG9" s="3">
        <v>0.36131309</v>
      </c>
      <c r="AH9" s="3">
        <v>0.63968691</v>
      </c>
    </row>
    <row r="10" spans="1:34" x14ac:dyDescent="0.25">
      <c r="A10">
        <v>5</v>
      </c>
      <c r="B10" s="3">
        <v>0.16763054999999999</v>
      </c>
      <c r="C10" s="3">
        <v>1.2</v>
      </c>
      <c r="D10" s="3">
        <v>0.1</v>
      </c>
      <c r="E10" s="3">
        <v>0.50820213000000003</v>
      </c>
      <c r="F10" s="3">
        <v>6.2786524999999996E-2</v>
      </c>
      <c r="G10" s="3">
        <v>0.63968691</v>
      </c>
      <c r="H10" s="3">
        <v>1000</v>
      </c>
      <c r="I10" s="3">
        <v>5.1146098999999996</v>
      </c>
      <c r="J10" s="3">
        <v>0.62384870000000003</v>
      </c>
      <c r="K10" s="3">
        <v>53.937466999999998</v>
      </c>
      <c r="L10" s="3">
        <v>500</v>
      </c>
      <c r="M10" s="3">
        <v>84.465922000000006</v>
      </c>
      <c r="N10" s="3">
        <v>0.14016844000000001</v>
      </c>
      <c r="O10" s="3">
        <v>0.21230319</v>
      </c>
      <c r="P10" s="3">
        <v>0.01</v>
      </c>
      <c r="Q10" s="3">
        <v>0.5</v>
      </c>
      <c r="R10" s="3">
        <v>0</v>
      </c>
      <c r="S10" s="3">
        <v>6.4293297999999997</v>
      </c>
      <c r="T10" s="3">
        <v>0.14016844000000001</v>
      </c>
      <c r="U10" s="3">
        <v>0.21230319</v>
      </c>
      <c r="V10" s="3">
        <v>0.3</v>
      </c>
      <c r="W10" s="3">
        <v>0.21230319</v>
      </c>
      <c r="X10" s="3">
        <v>0.8</v>
      </c>
      <c r="Y10" s="3">
        <v>4</v>
      </c>
      <c r="Z10" s="3">
        <v>1</v>
      </c>
      <c r="AA10" s="3">
        <v>1</v>
      </c>
      <c r="AB10" s="3">
        <v>1E-3</v>
      </c>
      <c r="AC10" s="3">
        <v>1E-3</v>
      </c>
      <c r="AD10" s="3">
        <v>1</v>
      </c>
      <c r="AE10" s="3">
        <v>0.63968691</v>
      </c>
      <c r="AF10" s="3">
        <v>0.22887218000000001</v>
      </c>
      <c r="AG10" s="3">
        <v>0.36131309</v>
      </c>
      <c r="AH10" s="3">
        <v>0.63968691</v>
      </c>
    </row>
    <row r="11" spans="1:34" s="7" customFormat="1" x14ac:dyDescent="0.25">
      <c r="A11" s="7">
        <v>6</v>
      </c>
      <c r="B11" s="7">
        <v>0.16763054999999999</v>
      </c>
      <c r="C11" s="7">
        <v>1.2</v>
      </c>
      <c r="D11" s="7">
        <v>0.1</v>
      </c>
      <c r="E11" s="7">
        <v>0.50820213000000003</v>
      </c>
      <c r="F11" s="7">
        <v>6.2786524999999996E-2</v>
      </c>
      <c r="G11" s="7">
        <v>0.63968691</v>
      </c>
      <c r="H11" s="7">
        <v>1000</v>
      </c>
      <c r="I11" s="7">
        <v>5.1146098999999996</v>
      </c>
      <c r="J11" s="7">
        <v>0.62384870000000003</v>
      </c>
      <c r="K11" s="7">
        <v>53.937466999999998</v>
      </c>
      <c r="L11" s="7">
        <v>500</v>
      </c>
      <c r="M11" s="7">
        <v>84.465922000000006</v>
      </c>
      <c r="N11" s="7">
        <v>0.14016844000000001</v>
      </c>
      <c r="O11" s="7">
        <v>0.21230319</v>
      </c>
      <c r="P11" s="7">
        <v>0.01</v>
      </c>
      <c r="Q11" s="7">
        <v>0.5</v>
      </c>
      <c r="R11" s="7">
        <v>0</v>
      </c>
      <c r="S11" s="7">
        <v>6.4293297999999997</v>
      </c>
      <c r="T11" s="7">
        <v>0.14016844000000001</v>
      </c>
      <c r="U11" s="7">
        <v>0.21230319</v>
      </c>
      <c r="V11" s="7">
        <v>0.3</v>
      </c>
      <c r="W11" s="7">
        <v>0.21230319</v>
      </c>
      <c r="X11" s="7">
        <v>0.8</v>
      </c>
      <c r="Y11" s="7">
        <v>4</v>
      </c>
      <c r="Z11" s="7">
        <v>1</v>
      </c>
      <c r="AA11" s="7">
        <v>1</v>
      </c>
      <c r="AB11" s="7">
        <v>1E-3</v>
      </c>
      <c r="AC11" s="7">
        <v>1E-3</v>
      </c>
      <c r="AD11" s="7">
        <v>1</v>
      </c>
      <c r="AE11" s="7">
        <v>0.63968691</v>
      </c>
      <c r="AF11" s="7">
        <v>0.22887218000000001</v>
      </c>
      <c r="AG11" s="7">
        <v>0.36131309</v>
      </c>
      <c r="AH11" s="7">
        <v>0.63968691</v>
      </c>
    </row>
    <row r="12" spans="1:34" s="1" customFormat="1" x14ac:dyDescent="0.25">
      <c r="B12" s="6" t="s">
        <v>44</v>
      </c>
      <c r="C12" s="5">
        <f t="shared" ref="C12:AH12" si="0">IF(C11&lt;=C18,1,0)</f>
        <v>1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 t="shared" si="0"/>
        <v>0</v>
      </c>
      <c r="H12" s="5">
        <f t="shared" si="0"/>
        <v>0</v>
      </c>
      <c r="I12" s="5">
        <f t="shared" si="0"/>
        <v>0</v>
      </c>
      <c r="J12" s="5">
        <f t="shared" si="0"/>
        <v>0</v>
      </c>
      <c r="K12" s="5">
        <f t="shared" si="0"/>
        <v>0</v>
      </c>
      <c r="L12" s="5">
        <f t="shared" si="0"/>
        <v>0</v>
      </c>
      <c r="M12" s="5">
        <f t="shared" si="0"/>
        <v>0</v>
      </c>
      <c r="N12" s="5">
        <f t="shared" si="0"/>
        <v>0</v>
      </c>
      <c r="O12" s="5">
        <f t="shared" si="0"/>
        <v>0</v>
      </c>
      <c r="P12" s="5">
        <f t="shared" si="0"/>
        <v>1</v>
      </c>
      <c r="Q12" s="5">
        <f t="shared" si="0"/>
        <v>0</v>
      </c>
      <c r="R12" s="5">
        <f t="shared" si="0"/>
        <v>0</v>
      </c>
      <c r="S12" s="5">
        <f t="shared" si="0"/>
        <v>0</v>
      </c>
      <c r="T12" s="5">
        <f t="shared" si="0"/>
        <v>0</v>
      </c>
      <c r="U12" s="5">
        <f t="shared" si="0"/>
        <v>0</v>
      </c>
      <c r="V12" s="5">
        <f t="shared" si="0"/>
        <v>0</v>
      </c>
      <c r="W12" s="5">
        <f t="shared" si="0"/>
        <v>0</v>
      </c>
      <c r="X12" s="5">
        <f t="shared" si="0"/>
        <v>1</v>
      </c>
      <c r="Y12" s="5">
        <f t="shared" si="0"/>
        <v>0</v>
      </c>
      <c r="Z12" s="5">
        <f t="shared" si="0"/>
        <v>0</v>
      </c>
      <c r="AA12" s="5">
        <f t="shared" si="0"/>
        <v>0</v>
      </c>
      <c r="AB12" s="5">
        <f t="shared" si="0"/>
        <v>1</v>
      </c>
      <c r="AC12" s="5">
        <f t="shared" si="0"/>
        <v>1</v>
      </c>
      <c r="AD12" s="5">
        <f t="shared" si="0"/>
        <v>0</v>
      </c>
      <c r="AE12" s="5">
        <f t="shared" si="0"/>
        <v>0</v>
      </c>
      <c r="AF12" s="5">
        <f t="shared" si="0"/>
        <v>0</v>
      </c>
      <c r="AG12" s="5">
        <f t="shared" si="0"/>
        <v>0</v>
      </c>
      <c r="AH12" s="5">
        <f t="shared" si="0"/>
        <v>0</v>
      </c>
    </row>
    <row r="13" spans="1:34" s="1" customFormat="1" x14ac:dyDescent="0.25">
      <c r="B13" s="1" t="s">
        <v>43</v>
      </c>
      <c r="C13" s="5">
        <f t="shared" ref="C13:AH13" si="1">IF(C11&gt;=C19,1,0)</f>
        <v>0</v>
      </c>
      <c r="D13" s="5">
        <f t="shared" si="1"/>
        <v>1</v>
      </c>
      <c r="E13" s="5">
        <f t="shared" si="1"/>
        <v>0</v>
      </c>
      <c r="F13" s="5">
        <f t="shared" si="1"/>
        <v>0</v>
      </c>
      <c r="G13" s="5">
        <f t="shared" si="1"/>
        <v>0</v>
      </c>
      <c r="H13" s="5">
        <f t="shared" si="1"/>
        <v>1</v>
      </c>
      <c r="I13" s="5">
        <f t="shared" si="1"/>
        <v>0</v>
      </c>
      <c r="J13" s="5">
        <f t="shared" si="1"/>
        <v>0</v>
      </c>
      <c r="K13" s="5">
        <f t="shared" si="1"/>
        <v>0</v>
      </c>
      <c r="L13" s="5">
        <f t="shared" si="1"/>
        <v>1</v>
      </c>
      <c r="M13" s="5">
        <f t="shared" si="1"/>
        <v>0</v>
      </c>
      <c r="N13" s="5">
        <f t="shared" si="1"/>
        <v>0</v>
      </c>
      <c r="O13" s="5">
        <f t="shared" si="1"/>
        <v>0</v>
      </c>
      <c r="P13" s="5">
        <f t="shared" si="1"/>
        <v>0</v>
      </c>
      <c r="Q13" s="5">
        <f t="shared" si="1"/>
        <v>1</v>
      </c>
      <c r="R13" s="5">
        <f t="shared" si="1"/>
        <v>1</v>
      </c>
      <c r="S13" s="5">
        <f t="shared" si="1"/>
        <v>0</v>
      </c>
      <c r="T13" s="5">
        <f t="shared" si="1"/>
        <v>0</v>
      </c>
      <c r="U13" s="5">
        <f t="shared" si="1"/>
        <v>0</v>
      </c>
      <c r="V13" s="5">
        <f t="shared" si="1"/>
        <v>1</v>
      </c>
      <c r="W13" s="5">
        <f t="shared" si="1"/>
        <v>0</v>
      </c>
      <c r="X13" s="5">
        <f t="shared" si="1"/>
        <v>0</v>
      </c>
      <c r="Y13" s="5">
        <f t="shared" si="1"/>
        <v>1</v>
      </c>
      <c r="Z13" s="5">
        <f t="shared" si="1"/>
        <v>1</v>
      </c>
      <c r="AA13" s="5">
        <f t="shared" si="1"/>
        <v>1</v>
      </c>
      <c r="AB13" s="5">
        <f t="shared" si="1"/>
        <v>0</v>
      </c>
      <c r="AC13" s="5">
        <f t="shared" si="1"/>
        <v>0</v>
      </c>
      <c r="AD13" s="5">
        <f t="shared" si="1"/>
        <v>1</v>
      </c>
      <c r="AE13" s="5">
        <f t="shared" si="1"/>
        <v>0</v>
      </c>
      <c r="AF13" s="5">
        <f t="shared" si="1"/>
        <v>0</v>
      </c>
      <c r="AG13" s="5">
        <f t="shared" si="1"/>
        <v>0</v>
      </c>
      <c r="AH13" s="5">
        <f t="shared" si="1"/>
        <v>0</v>
      </c>
    </row>
    <row r="14" spans="1:34" s="1" customFormat="1" x14ac:dyDescent="0.25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</row>
    <row r="15" spans="1:34" s="1" customFormat="1" x14ac:dyDescent="0.25"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</row>
    <row r="16" spans="1:34" x14ac:dyDescent="0.25">
      <c r="C16" s="2" t="s">
        <v>28</v>
      </c>
      <c r="D16" s="2" t="s">
        <v>29</v>
      </c>
      <c r="E16" s="2" t="s">
        <v>30</v>
      </c>
      <c r="F16" s="2" t="s">
        <v>31</v>
      </c>
      <c r="G16" s="1" t="s">
        <v>8</v>
      </c>
      <c r="H16" t="s">
        <v>10</v>
      </c>
      <c r="I16" t="s">
        <v>11</v>
      </c>
      <c r="J16" t="s">
        <v>12</v>
      </c>
      <c r="K16" t="s">
        <v>13</v>
      </c>
      <c r="L16" t="s">
        <v>14</v>
      </c>
      <c r="M16" t="s">
        <v>15</v>
      </c>
      <c r="N16" t="s">
        <v>16</v>
      </c>
      <c r="O16" t="s">
        <v>17</v>
      </c>
      <c r="P16" t="s">
        <v>18</v>
      </c>
      <c r="Q16" t="s">
        <v>19</v>
      </c>
      <c r="R16" t="s">
        <v>20</v>
      </c>
      <c r="S16" t="s">
        <v>21</v>
      </c>
      <c r="T16" t="s">
        <v>22</v>
      </c>
      <c r="U16" t="s">
        <v>23</v>
      </c>
      <c r="V16" t="s">
        <v>24</v>
      </c>
      <c r="W16" t="s">
        <v>25</v>
      </c>
      <c r="X16" t="s">
        <v>26</v>
      </c>
      <c r="Y16" s="1" t="s">
        <v>27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t="s">
        <v>9</v>
      </c>
      <c r="AG16" t="s">
        <v>9</v>
      </c>
      <c r="AH16" t="s">
        <v>9</v>
      </c>
    </row>
    <row r="17" spans="2:34" x14ac:dyDescent="0.25">
      <c r="B17" t="s">
        <v>1</v>
      </c>
      <c r="C17" s="2">
        <v>1.4</v>
      </c>
      <c r="D17" s="2">
        <v>1E-3</v>
      </c>
      <c r="E17" s="2">
        <v>0.5</v>
      </c>
      <c r="F17" s="2">
        <v>0.06</v>
      </c>
      <c r="G17" s="1">
        <v>0.01</v>
      </c>
      <c r="H17">
        <v>100</v>
      </c>
      <c r="I17">
        <v>4</v>
      </c>
      <c r="J17">
        <v>1</v>
      </c>
      <c r="K17">
        <v>2</v>
      </c>
      <c r="L17">
        <v>250</v>
      </c>
      <c r="M17">
        <v>25</v>
      </c>
      <c r="N17">
        <v>0.1</v>
      </c>
      <c r="O17">
        <v>0.2</v>
      </c>
      <c r="P17">
        <v>7.0000000000000007E-2</v>
      </c>
      <c r="Q17">
        <v>0.25</v>
      </c>
      <c r="R17">
        <v>0</v>
      </c>
      <c r="S17">
        <v>0.5</v>
      </c>
      <c r="T17">
        <v>0.15</v>
      </c>
      <c r="U17">
        <v>0.25</v>
      </c>
      <c r="V17">
        <v>0.15</v>
      </c>
      <c r="W17">
        <v>0.25</v>
      </c>
      <c r="X17">
        <v>1.36</v>
      </c>
      <c r="Y17" s="1">
        <v>2</v>
      </c>
      <c r="Z17">
        <v>0.01</v>
      </c>
      <c r="AA17">
        <v>0.01</v>
      </c>
      <c r="AB17">
        <v>0.01</v>
      </c>
      <c r="AC17">
        <v>0.01</v>
      </c>
      <c r="AD17">
        <v>0.01</v>
      </c>
      <c r="AE17">
        <v>0.01</v>
      </c>
      <c r="AF17">
        <v>0.01</v>
      </c>
      <c r="AG17">
        <v>0.01</v>
      </c>
      <c r="AH17">
        <v>0.01</v>
      </c>
    </row>
    <row r="18" spans="2:34" x14ac:dyDescent="0.25">
      <c r="B18" t="s">
        <v>2</v>
      </c>
      <c r="C18" s="2">
        <v>1.2</v>
      </c>
      <c r="D18" s="2">
        <v>1.0000000000000001E-5</v>
      </c>
      <c r="E18" s="2">
        <v>0.4</v>
      </c>
      <c r="F18" s="2">
        <v>0.05</v>
      </c>
      <c r="G18" s="1">
        <v>1E-3</v>
      </c>
      <c r="H18">
        <v>10</v>
      </c>
      <c r="I18">
        <v>0</v>
      </c>
      <c r="J18">
        <v>0</v>
      </c>
      <c r="K18">
        <v>0</v>
      </c>
      <c r="L18">
        <v>50</v>
      </c>
      <c r="M18">
        <v>10</v>
      </c>
      <c r="N18">
        <v>0.05</v>
      </c>
      <c r="O18">
        <v>0.05</v>
      </c>
      <c r="P18">
        <v>0.01</v>
      </c>
      <c r="Q18">
        <v>0.05</v>
      </c>
      <c r="R18">
        <v>-1</v>
      </c>
      <c r="S18">
        <v>0.1</v>
      </c>
      <c r="T18">
        <v>0.05</v>
      </c>
      <c r="U18">
        <v>0.05</v>
      </c>
      <c r="V18">
        <v>0.05</v>
      </c>
      <c r="W18">
        <v>0.05</v>
      </c>
      <c r="X18">
        <v>0.8</v>
      </c>
      <c r="Y18" s="1">
        <v>1</v>
      </c>
      <c r="Z18">
        <v>1E-3</v>
      </c>
      <c r="AA18">
        <v>1E-3</v>
      </c>
      <c r="AB18">
        <v>1E-3</v>
      </c>
      <c r="AC18">
        <v>1E-3</v>
      </c>
      <c r="AD18">
        <v>1E-3</v>
      </c>
      <c r="AE18">
        <v>1E-3</v>
      </c>
      <c r="AF18">
        <v>1E-3</v>
      </c>
      <c r="AG18">
        <v>1E-3</v>
      </c>
      <c r="AH18">
        <v>1E-3</v>
      </c>
    </row>
    <row r="19" spans="2:34" x14ac:dyDescent="0.25">
      <c r="B19" t="s">
        <v>3</v>
      </c>
      <c r="C19" s="2">
        <v>2.5</v>
      </c>
      <c r="D19" s="2">
        <v>0.1</v>
      </c>
      <c r="E19" s="2">
        <v>0.7</v>
      </c>
      <c r="F19" s="2">
        <v>7.0000000000000007E-2</v>
      </c>
      <c r="G19" s="1">
        <v>1</v>
      </c>
      <c r="H19">
        <v>1000</v>
      </c>
      <c r="I19">
        <v>8</v>
      </c>
      <c r="J19">
        <v>1</v>
      </c>
      <c r="K19">
        <v>100</v>
      </c>
      <c r="L19">
        <v>500</v>
      </c>
      <c r="M19">
        <v>100</v>
      </c>
      <c r="N19">
        <v>0.3</v>
      </c>
      <c r="O19">
        <v>0.5</v>
      </c>
      <c r="P19">
        <v>0.2</v>
      </c>
      <c r="Q19">
        <v>0.5</v>
      </c>
      <c r="R19">
        <v>0</v>
      </c>
      <c r="S19">
        <v>10</v>
      </c>
      <c r="T19">
        <v>0.3</v>
      </c>
      <c r="U19">
        <v>0.5</v>
      </c>
      <c r="V19">
        <v>0.3</v>
      </c>
      <c r="W19">
        <v>0.5</v>
      </c>
      <c r="X19">
        <v>1.39</v>
      </c>
      <c r="Y19" s="1">
        <v>4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</row>
  </sheetData>
  <conditionalFormatting sqref="C11:C12 D12:AH12">
    <cfRule type="cellIs" dxfId="3" priority="7" operator="greaterThanOrEqual">
      <formula>$C$19</formula>
    </cfRule>
  </conditionalFormatting>
  <conditionalFormatting sqref="D11">
    <cfRule type="cellIs" dxfId="2" priority="6" operator="between">
      <formula>$C$18</formula>
      <formula>$C$19</formula>
    </cfRule>
  </conditionalFormatting>
  <conditionalFormatting sqref="C12:AH12">
    <cfRule type="cellIs" dxfId="1" priority="5" operator="equal">
      <formula>1</formula>
    </cfRule>
  </conditionalFormatting>
  <conditionalFormatting sqref="C13:AH14"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param_DOMEF_1500_Optim_002</vt:lpstr>
      <vt:lpstr>BestParamPerIter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GBertoldi</dc:creator>
  <cp:lastModifiedBy>GBertoldi</cp:lastModifiedBy>
  <dcterms:created xsi:type="dcterms:W3CDTF">2016-12-20T15:07:34Z</dcterms:created>
  <dcterms:modified xsi:type="dcterms:W3CDTF">2017-02-10T16:52:12Z</dcterms:modified>
</cp:coreProperties>
</file>